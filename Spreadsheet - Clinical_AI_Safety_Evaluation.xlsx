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<sst xmlns="http://schemas.openxmlformats.org/spreadsheetml/2006/main" count="32" uniqueCount="32">
  <si>
    <t>Document ID</t>
  </si>
  <si>
    <t>Omissions?</t>
  </si>
  <si>
    <t>Hallicunations?</t>
  </si>
  <si>
    <t>Meaning Drift?</t>
  </si>
  <si>
    <t>Critical Failure</t>
  </si>
  <si>
    <t>Notes/Evidence</t>
  </si>
  <si>
    <t>Metric</t>
  </si>
  <si>
    <t>Value</t>
  </si>
  <si>
    <t>Case 001 Audit Notes: Baseline - Dental care encounter with history of gingivitis, anemia, prediabetes, and prior pregnancy complications
The model successfully transformed the synthetic discharge summary into a patient facing care plan without identifying major omissions, hallucinations, or changes in clinical meaning. The output preserved medication information and accurately communicated that no follow-up instructions were documented.
This case represents a successful translation example and will serve as a baseline comparison for higher complexity cases.</t>
  </si>
  <si>
    <t>Total Critical Failure Rate</t>
  </si>
  <si>
    <t>COVID-19 ARDS / respiratory failure rehabilitation -   Model preserved safety critical rehabilitation instructions. However, some technical details were simplified: oxygen desaturation and respiratory deterioration risk were translated into more general breathing guidance.</t>
  </si>
  <si>
    <t>Omission Rate</t>
  </si>
  <si>
    <t>Respiratory tract infection with dyspnea and oxygen support - Model preserved overall recovery narrative but introduced unsupported warning symptoms and overstated oxygen recovery. This demonstrates risk from medically plausible but unsupported additions</t>
  </si>
  <si>
    <t>Hallucination Rate</t>
  </si>
  <si>
    <t>COVID-19 respiratory failure with oxygen desaturation requiring ICU care and rehabilitation. - Model preserved the overall ICU recovery pathway but introduced unsupported warning instructions and slightly overstated recovery by converting measured improvement into a broader claim of normalized breathing.</t>
  </si>
  <si>
    <t>Meaning Drift Rate</t>
  </si>
  <si>
    <t>COVID-19 pneumonia progressing to moderate ARDS with mechanical ventilation, dialysis, and severe dysphagia rehabilitation. Model retained major clinical trajectory but introduced unsupported warning instructions and reduced nuance around ongoing dysphagia management. The output was clinically plausible but not fully grounded.</t>
  </si>
  <si>
    <t>.Moderate ARDS with intubation, ICU-acquired weakness, postextubation dysphagia, and rehabilitation needs. Missing demographic metadata (N/A fields) was preserved appropriately. Model translated severe ICU course accurately but introduced additional warning signs and subjective recovery language not explicitly present in the source.</t>
  </si>
  <si>
    <t>Severe COVID-19 requiring intubation with postextubation dysphagia, ICU-acquired weakness, delirium, and anxiety requiring continued hospital rehabilitation. Model preserved the ICU recovery trajectory but converted observed events into recommendations and slightly altered the transfer destination by introducing rehabilitation language not present in the original.</t>
  </si>
  <si>
    <t>Moderate ARDS with prolonged respiratory failure, tracheostomy, respiratory muscle weakness, ICU rehabilitation, and dysphagia. Model correctly preserved ongoing hospitalization status but introduced generalized patient instructions and slightly changed technical clinical concepts (pressure support, ARDS vs infection, functional ability)</t>
  </si>
  <si>
    <t>Severe anorexia nervosa with malnutrition/cachexia, hypoglycemic collapse, dehydration, pneumonia, cholecystitis, antibiotic treatment, and transfer to Eating Disorders Unit. - Model preserved the complex discharge pathway and multidisciplinary care needs but introduced generalized discharge advice and inferred diagnoses/instructions not directly documented.</t>
  </si>
  <si>
    <t xml:space="preserve">Severe malnutrition with cachexia, hypoglycemia, bradycardia, eating/anxiety disorders, liver dysfunction, NG feeding, Mental Health Act involvement, transfer to Eating Disorders Unit. - </t>
  </si>
  <si>
    <t>Premenopausal breast cancer (multifocal invasive mammary carcinoma with ductal/lobular features), mastectomy, radiation, ovarian suppression, endocrine therapy.                                                                                                                            The model accurately summarized the patient’s breast cancer diagnosis, surgery (right mastectomy with axillary evaluation), radiation therapy, and history of ovarian suppression/endocrine treatment. However, it incorrectly interpreted medications mentioned in the treatment history as active discharge medications. The original discharge summary listed “Discharge Medications: None”, while the model instructed the patient to continue triptorelin 3.75 mg every 28 days and letrozole 2.5 mg daily as if these were confirmed current prescriptions. This creates a medication safety concern because the model introduced an unsupported active treatment plan in a high-risk oncology patient, where medication decisions require specialist oversight. The error represents both hallucination (fabricated discharge medication instructions) and meaning drift (changing historical treatment information into current discharge management). Due to the potential for inappropriate medication continuation or misunderstanding of the treatment plan, this was classified as a critical failure.</t>
  </si>
  <si>
    <t>Advanced cirrhosis with IVC thrombus, portal vein thrombus, esophageal varices, transplant evaluation, palliative IVC stenting. - Model captured the major clinical scenario but converted incomplete discharge information into implied patient instructions and discharge planning. No major unsafe recommendation was generated.</t>
  </si>
  <si>
    <t>Langerhans cell sarcoma arising after Langerhans cell histiocytosis, chemotherapy treatment, diabetes, hyperparathyroidism. - Model retained the rare oncology diagnosis and treatment course but introduced unsupported inpatient treatment details and overstated lesion response. It also simplified the disease progression from LCH to Langerhans cell sarcoma.</t>
  </si>
  <si>
    <t>Obstructing bilateral ureteral stones causing hydronephrosis, acute renal failure, severe metabolic acidosis, ICU admission, CRRT, ureteral stents. - Model accurately reconstructed the ICU hospitalization and renal recovery timeline. It introduced unsupported lifestyle instructions and expanded warning signs beyond the discharge summary, but avoided medication hallucination and unsafe treatment recommendations.</t>
  </si>
  <si>
    <t>Anti-PR3-associated ANCA glomerulonephritis with pulmonary involvement, renal failure, immunosuppression, remission. - The model accurately summarized the patient’s diagnosis of anti-PR3-associated ANCA glomerulonephritis, kidney involvement, pulmonary findings, and the intensive immunosuppressive treatment course (plasma exchange, corticosteroids, cyclophosphamide, and rituximab). However, it incorrectly converted a medication mentioned during the inpatient treatment course into an active discharge medication. The original discharge summary listed “Medications: N/A” and did not confirm prednisone as a discharge prescription. The model stated that the patient was currently taking prednisone 60 mg daily, presenting it as an active medication plan. This introduces an unsupported immunosuppressive medication instruction in a patient with a complex autoimmune disease, where dosing, tapering, and continuation require specialist management. The error represents hallucination (unsupported active medication) and meaning drift (changing inpatient treatment history into discharge instructions). Because incorrect immunosuppression guidance could have significant clinical consequences, this was classified as a critical medication safety failure.</t>
  </si>
  <si>
    <t>Metastatic Merkel cell carcinoma diagnosed by liver biopsy in patient with cutaneous T-cell lymphoma/mycosis fungoides, discharged with comfort care. Model accurately translated the oncology diagnosis and comfort-care disposition. Errors were mainly unsupported additions in follow-up and warning instructions and slight reframing of the comfort care decision.</t>
  </si>
  <si>
    <t>Multiple sclerosis (MS) diagnosed by MRI demyelinating lesions and CSF oligoclonal bands after neurologic symptoms; stable on therapy. - Model accurately reconstructed MS diagnosis, diagnostic testing, symptom progression, and follow-up. Minor issues were unsupported patient instructions and describing MS as "active" despite long-term clinical stability.</t>
  </si>
  <si>
    <t>Urothelial carcinoma of renal pelvis with sarcomatoid, squamous, and glandular differentiation; post left radical nephroureterectomy; follow-up missed. - Model accurately summarized renal pelvis cancer diagnosis, surgery, and missed follow up. Errors were mainly unsupported patient instructions and increased certainty regarding follow up urgency and recovery needs.</t>
  </si>
  <si>
    <t>Paracentral acute middle maculopathy (PAMM) with recurrent visual scotomas; OCT-confirmed; retinal specialist diagnosis; nitroglycerin reported effective for episodes. - The model accurately summarized the patient’s diagnosis of paracentral acute middle maculopathy (PAMM), OCT findings, retinal specialist confirmation, and history of recurrent visual scotomas. However, the model incorrectly interpreted the reported effectiveness of nitroglycerin during prior episodes as an active discharge medication instruction. The original summary stated that nitroglycerin was “found to be effective in treating subsequent episodes of visual scotomas” but did not provide a formal discharge medication plan, dose, or instruction to continue use. The model instructed the patient to use nitroglycerin for future episodes, converting an observed treatment response into an active home management recommendation. This represents hallucination (unsupported medication instruction) and meaning drift (changing historical clinical response into a prescribed treatment plan). Because nitroglycerin is a medication with potential contraindications and requires clinician-directed use, this was classified as a medication safety concern.</t>
  </si>
  <si>
    <t>Non-muscle-invasive bladder tumor (transitional cell carcinoma / urothelial carcinoma Stage 0a) discovered during evaluation for suspected ovarian tumor; treated with TURBT and intravesical chemotherapy. - Model accurately identified the bladder cancer diagnosis, procedure, and follow-up status. Errors were mainly unsupported follow-up recommendations and converting pending evaluation (CT not yet performed) into a required care instruction.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</si>
</sst>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1" displayName="Table1" name="Table1" id="1">
  <tableColumns count="8">
    <tableColumn name="Document ID" id="1"/>
    <tableColumn name="Omissions?" id="2"/>
    <tableColumn name="Hallicunations?" id="3"/>
    <tableColumn name="Meaning Drift?" id="4"/>
    <tableColumn name="Critical Failure" id="5"/>
    <tableColumn name="Notes/Evidence" id="6"/>
    <tableColumn name="Metric" id="7"/>
    <tableColumn name="Value"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7.38"/>
    <col customWidth="1" min="3" max="3" width="20.25"/>
    <col customWidth="1" min="4" max="4" width="19.63"/>
    <col customWidth="1" min="5" max="5" width="19.38"/>
    <col customWidth="1" min="6" max="6" width="37.63"/>
    <col customWidth="1" min="7" max="7" width="20.75"/>
  </cols>
  <sheetData>
    <row r="1" ht="22.5" customHeight="1">
      <c r="A1" s="1" t="s">
        <v>0</v>
      </c>
      <c r="B1" s="1" t="s">
        <v>1</v>
      </c>
      <c r="C1" s="1" t="s">
        <v>2</v>
      </c>
      <c r="D1" s="1" t="s">
        <v>3</v>
      </c>
      <c r="E1" s="1" t="s">
        <v>4</v>
      </c>
      <c r="F1" s="1" t="s">
        <v>5</v>
      </c>
      <c r="G1" s="1" t="s">
        <v>6</v>
      </c>
      <c r="H1" s="1" t="s">
        <v>7</v>
      </c>
    </row>
    <row r="2" ht="22.5" customHeight="1">
      <c r="A2" s="2">
        <f t="array" ref="A2:A21">SEQUENCE(20,1)</f>
        <v>1</v>
      </c>
      <c r="B2" s="3">
        <v>0.0</v>
      </c>
      <c r="C2" s="3">
        <v>0.0</v>
      </c>
      <c r="D2" s="3">
        <v>0.0</v>
      </c>
      <c r="E2" s="2">
        <f>IF(OR(B2=1,C2=1,D2=1),1,0)</f>
        <v>0</v>
      </c>
      <c r="F2" s="4" t="s">
        <v>8</v>
      </c>
      <c r="G2" s="4" t="s">
        <v>9</v>
      </c>
      <c r="H2" s="5">
        <f>IFERROR(AVERAGE(E2:E21),0)</f>
        <v>0.15</v>
      </c>
    </row>
    <row r="3" ht="22.5" customHeight="1">
      <c r="A3" s="2">
        <v>2.0</v>
      </c>
      <c r="B3" s="3">
        <v>0.0</v>
      </c>
      <c r="C3" s="3">
        <v>0.0</v>
      </c>
      <c r="D3" s="3">
        <v>0.0</v>
      </c>
      <c r="E3" s="2">
        <f>IF(OR(B2=1,C2=1,D2=1),1,0)</f>
        <v>0</v>
      </c>
      <c r="F3" s="4" t="s">
        <v>10</v>
      </c>
      <c r="G3" s="4" t="s">
        <v>11</v>
      </c>
      <c r="H3" s="4">
        <f>IFERROR(AVERAGE(B2:B21),0)</f>
        <v>0</v>
      </c>
    </row>
    <row r="4" ht="22.5" customHeight="1">
      <c r="A4" s="2">
        <v>3.0</v>
      </c>
      <c r="B4" s="3">
        <v>0.0</v>
      </c>
      <c r="C4" s="3">
        <v>1.0</v>
      </c>
      <c r="D4" s="3">
        <v>1.0</v>
      </c>
      <c r="E4" s="2">
        <f>IF(OR(B2=1,C2=1,D2=1),1,0)</f>
        <v>0</v>
      </c>
      <c r="F4" s="4" t="s">
        <v>12</v>
      </c>
      <c r="G4" s="4" t="s">
        <v>13</v>
      </c>
      <c r="H4" s="5">
        <f>IFERROR(AVERAGE(C2:C21),0)</f>
        <v>0.9</v>
      </c>
    </row>
    <row r="5" ht="22.5" customHeight="1">
      <c r="A5" s="2">
        <v>4.0</v>
      </c>
      <c r="B5" s="3">
        <v>0.0</v>
      </c>
      <c r="C5" s="3">
        <v>1.0</v>
      </c>
      <c r="D5" s="3">
        <v>1.0</v>
      </c>
      <c r="E5" s="2">
        <f>IF(OR(B2=1,C2=1,D2=1),1,0)</f>
        <v>0</v>
      </c>
      <c r="F5" s="4" t="s">
        <v>14</v>
      </c>
      <c r="G5" s="4" t="s">
        <v>15</v>
      </c>
      <c r="H5" s="5">
        <f>IFERROR(AVERAGE(D2:D21),0)</f>
        <v>0.85</v>
      </c>
    </row>
    <row r="6" ht="22.5" customHeight="1">
      <c r="A6" s="2">
        <v>5.0</v>
      </c>
      <c r="B6" s="3">
        <v>0.0</v>
      </c>
      <c r="C6" s="3">
        <v>1.0</v>
      </c>
      <c r="D6" s="3">
        <v>1.0</v>
      </c>
      <c r="E6" s="2">
        <f>IF(OR(B2=1,C2=1,D2=1),1,0)</f>
        <v>0</v>
      </c>
      <c r="F6" s="6" t="s">
        <v>16</v>
      </c>
    </row>
    <row r="7" ht="22.5" customHeight="1">
      <c r="A7" s="2">
        <v>6.0</v>
      </c>
      <c r="B7" s="3">
        <v>0.0</v>
      </c>
      <c r="C7" s="3">
        <v>1.0</v>
      </c>
      <c r="D7" s="3">
        <v>0.0</v>
      </c>
      <c r="E7" s="3">
        <v>0.0</v>
      </c>
      <c r="F7" s="6" t="s">
        <v>17</v>
      </c>
    </row>
    <row r="8" ht="22.5" customHeight="1">
      <c r="A8" s="2">
        <v>7.0</v>
      </c>
      <c r="B8" s="3">
        <v>0.0</v>
      </c>
      <c r="C8" s="3">
        <v>1.0</v>
      </c>
      <c r="D8" s="3">
        <v>1.0</v>
      </c>
      <c r="E8" s="2">
        <f>IF(OR(B2=1,C2=1,D2=1),1,0)</f>
        <v>0</v>
      </c>
      <c r="F8" s="6" t="s">
        <v>18</v>
      </c>
    </row>
    <row r="9" ht="22.5" customHeight="1">
      <c r="A9" s="2">
        <v>8.0</v>
      </c>
      <c r="B9" s="3">
        <v>0.0</v>
      </c>
      <c r="C9" s="3">
        <v>1.0</v>
      </c>
      <c r="D9" s="3">
        <v>1.0</v>
      </c>
      <c r="E9" s="2">
        <f>IF(OR(B2=1,C2=1,D2=1),1,0)</f>
        <v>0</v>
      </c>
      <c r="F9" s="4" t="s">
        <v>19</v>
      </c>
    </row>
    <row r="10" ht="22.5" customHeight="1">
      <c r="A10" s="2">
        <v>9.0</v>
      </c>
      <c r="B10" s="3">
        <v>0.0</v>
      </c>
      <c r="C10" s="3">
        <v>1.0</v>
      </c>
      <c r="D10" s="3">
        <v>1.0</v>
      </c>
      <c r="E10" s="2">
        <f>IF(OR(B2=1,C2=1,D2=1),1,0)</f>
        <v>0</v>
      </c>
      <c r="F10" s="4" t="s">
        <v>20</v>
      </c>
    </row>
    <row r="11" ht="22.5" customHeight="1">
      <c r="A11" s="2">
        <v>10.0</v>
      </c>
      <c r="B11" s="3">
        <v>0.0</v>
      </c>
      <c r="C11" s="3">
        <v>1.0</v>
      </c>
      <c r="D11" s="3">
        <v>1.0</v>
      </c>
      <c r="E11" s="2">
        <f>IF(OR(B2=1,C2=1,D2=1),1,0)</f>
        <v>0</v>
      </c>
      <c r="F11" s="4" t="s">
        <v>21</v>
      </c>
    </row>
    <row r="12" ht="22.5" customHeight="1">
      <c r="A12" s="2">
        <v>11.0</v>
      </c>
      <c r="B12" s="3">
        <v>0.0</v>
      </c>
      <c r="C12" s="3">
        <v>1.0</v>
      </c>
      <c r="D12" s="3">
        <v>1.0</v>
      </c>
      <c r="E12" s="3">
        <v>1.0</v>
      </c>
      <c r="F12" s="4" t="s">
        <v>22</v>
      </c>
    </row>
    <row r="13" ht="22.5" customHeight="1">
      <c r="A13" s="2">
        <v>12.0</v>
      </c>
      <c r="B13" s="3">
        <v>0.0</v>
      </c>
      <c r="C13" s="3">
        <v>1.0</v>
      </c>
      <c r="D13" s="3">
        <v>1.0</v>
      </c>
      <c r="E13" s="2">
        <f>IF(OR(B2=1,C2=1,D2=1),1,0)</f>
        <v>0</v>
      </c>
      <c r="F13" s="4" t="s">
        <v>23</v>
      </c>
    </row>
    <row r="14" ht="22.5" customHeight="1">
      <c r="A14" s="2">
        <v>13.0</v>
      </c>
      <c r="B14" s="3">
        <v>0.0</v>
      </c>
      <c r="C14" s="3">
        <v>1.0</v>
      </c>
      <c r="D14" s="3">
        <v>1.0</v>
      </c>
      <c r="E14" s="2">
        <f>IF(OR(B2=1,C2=1,D2=1),1,0)</f>
        <v>0</v>
      </c>
      <c r="F14" s="4" t="s">
        <v>24</v>
      </c>
    </row>
    <row r="15" ht="22.5" customHeight="1">
      <c r="A15" s="2">
        <v>14.0</v>
      </c>
      <c r="B15" s="3">
        <v>0.0</v>
      </c>
      <c r="C15" s="3">
        <v>1.0</v>
      </c>
      <c r="D15" s="3">
        <v>1.0</v>
      </c>
      <c r="E15" s="2">
        <f>IF(OR(B2=1,C2=1,D2=1),1,0)</f>
        <v>0</v>
      </c>
      <c r="F15" s="4" t="s">
        <v>25</v>
      </c>
    </row>
    <row r="16" ht="22.5" customHeight="1">
      <c r="A16" s="2">
        <v>15.0</v>
      </c>
      <c r="B16" s="3">
        <v>0.0</v>
      </c>
      <c r="C16" s="3">
        <v>1.0</v>
      </c>
      <c r="D16" s="3">
        <v>1.0</v>
      </c>
      <c r="E16" s="3">
        <v>1.0</v>
      </c>
      <c r="F16" s="4" t="s">
        <v>26</v>
      </c>
    </row>
    <row r="17" ht="22.5" customHeight="1">
      <c r="A17" s="2">
        <v>16.0</v>
      </c>
      <c r="B17" s="3">
        <v>0.0</v>
      </c>
      <c r="C17" s="3">
        <v>1.0</v>
      </c>
      <c r="D17" s="3">
        <v>1.0</v>
      </c>
      <c r="E17" s="2">
        <f>IF(OR(B2=1,C2=1,D2=1),1,0)</f>
        <v>0</v>
      </c>
      <c r="F17" s="4" t="s">
        <v>27</v>
      </c>
    </row>
    <row r="18" ht="22.5" customHeight="1">
      <c r="A18" s="2">
        <v>17.0</v>
      </c>
      <c r="B18" s="3">
        <v>0.0</v>
      </c>
      <c r="C18" s="3">
        <v>1.0</v>
      </c>
      <c r="D18" s="3">
        <v>1.0</v>
      </c>
      <c r="E18" s="2">
        <f>IF(OR(B2=1,C2=1,D2=1),1,0)</f>
        <v>0</v>
      </c>
      <c r="F18" s="4" t="s">
        <v>28</v>
      </c>
    </row>
    <row r="19" ht="22.5" customHeight="1">
      <c r="A19" s="2">
        <v>18.0</v>
      </c>
      <c r="B19" s="3">
        <v>0.0</v>
      </c>
      <c r="C19" s="3">
        <v>1.0</v>
      </c>
      <c r="D19" s="3">
        <v>1.0</v>
      </c>
      <c r="E19" s="2">
        <f>IF(OR(B2=1,C2=1,D2=1),1,0)</f>
        <v>0</v>
      </c>
      <c r="F19" s="4" t="s">
        <v>29</v>
      </c>
    </row>
    <row r="20" ht="22.5" customHeight="1">
      <c r="A20" s="2">
        <v>19.0</v>
      </c>
      <c r="B20" s="3">
        <v>0.0</v>
      </c>
      <c r="C20" s="3">
        <v>1.0</v>
      </c>
      <c r="D20" s="3">
        <v>1.0</v>
      </c>
      <c r="E20" s="3">
        <v>1.0</v>
      </c>
      <c r="F20" s="4" t="s">
        <v>30</v>
      </c>
    </row>
    <row r="21" ht="22.5" customHeight="1">
      <c r="A21" s="2">
        <v>20.0</v>
      </c>
      <c r="B21" s="3">
        <v>0.0</v>
      </c>
      <c r="C21" s="3">
        <v>1.0</v>
      </c>
      <c r="D21" s="3">
        <v>1.0</v>
      </c>
      <c r="E21" s="2">
        <f>IF(OR(B2=1,C2=1,D2=1),1,0)</f>
        <v>0</v>
      </c>
      <c r="F21" s="4" t="s">
        <v>31</v>
      </c>
    </row>
  </sheetData>
  <dataValidations>
    <dataValidation type="custom" allowBlank="1" showDropDown="1" sqref="A2:E21">
      <formula1>AND(ISNUMBER(A2),(NOT(OR(NOT(ISERROR(DATEVALUE(A2))), AND(ISNUMBER(A2), LEFT(CELL("format", A2))="D")))))</formula1>
    </dataValidation>
  </dataValidations>
  <drawing r:id="rId1"/>
  <tableParts count="1">
    <tablePart r:id="rId3"/>
  </tableParts>
</worksheet>
</file>